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MLF01\"/>
    </mc:Choice>
  </mc:AlternateContent>
  <xr:revisionPtr revIDLastSave="0" documentId="8_{1A1337AE-927D-473E-8913-BFDC4E0113E1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Data!$A$1:$U$26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H16" i="6" s="1"/>
  <c r="E18" i="6"/>
  <c r="E17" i="6"/>
  <c r="C9" i="6"/>
  <c r="C5" i="6"/>
  <c r="C4" i="6"/>
  <c r="C11" i="6" s="1"/>
  <c r="C8" i="6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12" i="3"/>
  <c r="T12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W11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12" i="3"/>
  <c r="C12" i="6" l="1"/>
  <c r="E9" i="6"/>
  <c r="E7" i="6"/>
  <c r="F8" i="6"/>
  <c r="F17" i="6"/>
  <c r="C13" i="6"/>
  <c r="C14" i="6" s="1"/>
  <c r="E8" i="6"/>
  <c r="F7" i="6"/>
  <c r="F9" i="6" s="1"/>
</calcChain>
</file>

<file path=xl/sharedStrings.xml><?xml version="1.0" encoding="utf-8"?>
<sst xmlns="http://schemas.openxmlformats.org/spreadsheetml/2006/main" count="90" uniqueCount="80">
  <si>
    <t>REMARK</t>
  </si>
  <si>
    <t xml:space="preserve"> </t>
  </si>
  <si>
    <t>CURRENT</t>
  </si>
  <si>
    <t>POWER</t>
  </si>
  <si>
    <t>E (Into load)</t>
  </si>
  <si>
    <t>P.</t>
  </si>
  <si>
    <t>Q.</t>
  </si>
  <si>
    <t>S.</t>
  </si>
  <si>
    <t>V.</t>
  </si>
  <si>
    <t>A.</t>
  </si>
  <si>
    <t>kW.</t>
  </si>
  <si>
    <t>kVAR.</t>
  </si>
  <si>
    <t>kVA.</t>
  </si>
  <si>
    <t>VOLTAGE</t>
  </si>
  <si>
    <t>TIME</t>
  </si>
  <si>
    <t>(hh:mm:ss)</t>
  </si>
  <si>
    <t>Time</t>
  </si>
  <si>
    <t>Use kWh</t>
  </si>
  <si>
    <t>kWh.</t>
  </si>
  <si>
    <t>Wh</t>
  </si>
  <si>
    <t>Wh TODAY (kWh)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</si>
  <si>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</si>
  <si>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</si>
  <si>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</si>
  <si>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</si>
  <si>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</si>
  <si>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</si>
  <si>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</si>
  <si>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</si>
  <si>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</si>
  <si>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Frequency</t>
  </si>
  <si>
    <t>Hz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</si>
  <si>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</si>
  <si>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</si>
  <si>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</si>
  <si>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</si>
  <si>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</si>
  <si>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</si>
  <si>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</si>
  <si>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</si>
  <si>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</si>
  <si>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</si>
  <si>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</si>
  <si>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</si>
  <si>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</si>
  <si>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Power factor</t>
  </si>
  <si>
    <t>Power meter report</t>
  </si>
  <si>
    <t>SATS Food Solutions (Thailand) Co., Ltd.</t>
  </si>
  <si>
    <r>
      <t>V</t>
    </r>
    <r>
      <rPr>
        <b/>
        <vertAlign val="subscript"/>
        <sz val="12"/>
        <rFont val="Times New Roman"/>
        <family val="1"/>
      </rPr>
      <t xml:space="preserve"> L1</t>
    </r>
  </si>
  <si>
    <r>
      <t>V</t>
    </r>
    <r>
      <rPr>
        <b/>
        <vertAlign val="subscript"/>
        <sz val="12"/>
        <rFont val="Times New Roman"/>
        <family val="1"/>
      </rPr>
      <t xml:space="preserve"> L1-L2</t>
    </r>
  </si>
  <si>
    <r>
      <t>V</t>
    </r>
    <r>
      <rPr>
        <b/>
        <vertAlign val="subscript"/>
        <sz val="12"/>
        <rFont val="Times New Roman"/>
        <family val="1"/>
      </rPr>
      <t xml:space="preserve"> L2-L3</t>
    </r>
  </si>
  <si>
    <r>
      <t>V</t>
    </r>
    <r>
      <rPr>
        <b/>
        <vertAlign val="subscript"/>
        <sz val="12"/>
        <rFont val="Times New Roman"/>
        <family val="1"/>
      </rPr>
      <t xml:space="preserve"> L3-L1</t>
    </r>
  </si>
  <si>
    <r>
      <t>V</t>
    </r>
    <r>
      <rPr>
        <b/>
        <vertAlign val="subscript"/>
        <sz val="12"/>
        <rFont val="Times New Roman"/>
        <family val="1"/>
      </rPr>
      <t xml:space="preserve"> L2</t>
    </r>
    <r>
      <rPr>
        <sz val="11"/>
        <color theme="1"/>
        <rFont val="Calibri"/>
        <family val="2"/>
        <scheme val="minor"/>
      </rPr>
      <t/>
    </r>
  </si>
  <si>
    <r>
      <t>V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</si>
  <si>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L1</t>
    </r>
  </si>
  <si>
    <r>
      <t>I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</si>
  <si>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N</t>
    </r>
  </si>
  <si>
    <r>
      <t>I</t>
    </r>
    <r>
      <rPr>
        <b/>
        <vertAlign val="subscript"/>
        <sz val="12"/>
        <rFont val="Times New Roman"/>
        <family val="1"/>
      </rPr>
      <t xml:space="preserve"> L2</t>
    </r>
  </si>
  <si>
    <r>
      <t>P</t>
    </r>
    <r>
      <rPr>
        <b/>
        <vertAlign val="subscript"/>
        <sz val="12"/>
        <rFont val="Times New Roman"/>
        <family val="1"/>
      </rPr>
      <t>L1</t>
    </r>
  </si>
  <si>
    <r>
      <t>P</t>
    </r>
    <r>
      <rPr>
        <b/>
        <vertAlign val="subscript"/>
        <sz val="12"/>
        <rFont val="Times New Roman"/>
        <family val="1"/>
      </rPr>
      <t>L2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</si>
  <si>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b/>
        <vertAlign val="subscript"/>
        <sz val="12"/>
        <rFont val="Times New Roman"/>
        <family val="1"/>
      </rPr>
      <t>L3</t>
    </r>
    <r>
      <rPr>
        <sz val="11"/>
        <color theme="1"/>
        <rFont val="Calibri"/>
        <family val="2"/>
        <scheme val="minor"/>
      </rPr>
      <t/>
    </r>
  </si>
  <si>
    <t>MULTI-LAYERED FREEZER NO.1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</si>
  <si>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</si>
  <si>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</si>
  <si>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</si>
  <si>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</si>
  <si>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</si>
  <si>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</si>
  <si>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</si>
  <si>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</si>
  <si>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</si>
  <si>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10:00:00</t>
  </si>
  <si>
    <t>11:00:00</t>
  </si>
  <si>
    <t>12:00:00</t>
  </si>
  <si>
    <t>13:00:00</t>
  </si>
  <si>
    <t>14:00:00</t>
  </si>
  <si>
    <t>16:00:00</t>
  </si>
  <si>
    <t>17:00:00</t>
  </si>
  <si>
    <t/>
  </si>
  <si>
    <t xml:space="preserve">Datetime: 2025-11-28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</si>
</sst>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"/>
    <numFmt numFmtId="165" formatCode="h:mm;@"/>
    <numFmt numFmtId="166" formatCode="#,##0.0000"/>
    <numFmt numFmtId="167" formatCode="h:mm:ss;@"/>
    <numFmt numFmtId="168" formatCode="0.00\ &quot;%&quot;"/>
    <numFmt numFmtId="169" formatCode="#,##0.0"/>
    <numFmt numFmtId="170" formatCode="#,##0.000"/>
    <numFmt numFmtId="171" formatCode="&quot;maximum :&quot;\ 0\ &quot;kWh&quot;"/>
    <numFmt numFmtId="172" formatCode="&quot;minimum :&quot;\ 0\ &quot;kWh&quot;"/>
    <numFmt numFmtId="173" formatCode="&quot;average :&quot;\ 0\ &quot;kWh&quot;"/>
    <numFmt numFmtId="174" formatCode="ddd"/>
    <numFmt numFmtId="175" formatCode="\≈\ #,##0"/>
    <numFmt numFmtId="176" formatCode="&quot;average PF : &quot;0.00"/>
    <numFmt numFmtId="177" formatCode="&quot;max PF : &quot;0.00"/>
    <numFmt numFmtId="178" formatCode="&quot;min PF : &quot;0.00"/>
    <numFmt numFmtId="179" formatCode="[$-F400]h:mm:ss\ AM/PM"/>
  </numFmts>
  <fonts count="30" x14ac:knownFonts="1">
    <font>
      <sz val="14"/>
      <name val="Cordia New"/>
      <charset val="222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/>
    <xf numFmtId="0" fontId="1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0" fillId="0" borderId="0" xfId="0" applyNumberFormat="1"/>
    <xf numFmtId="168" fontId="0" fillId="0" borderId="0" xfId="0" applyNumberFormat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65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4" fontId="24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5" fillId="0" borderId="5" xfId="0" applyNumberFormat="1" applyFont="1" applyBorder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166" fontId="17" fillId="0" borderId="10" xfId="0" applyNumberFormat="1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  <xf numFmtId="4" fontId="19" fillId="0" borderId="6" xfId="0" applyNumberFormat="1" applyFont="1" applyBorder="1" applyAlignment="1">
      <alignment horizontal="center" vertical="center"/>
    </xf>
    <xf numFmtId="166" fontId="19" fillId="0" borderId="6" xfId="0" applyNumberFormat="1" applyFont="1" applyBorder="1" applyAlignment="1">
      <alignment horizontal="center" vertical="center"/>
    </xf>
    <xf numFmtId="169" fontId="15" fillId="0" borderId="5" xfId="0" applyNumberFormat="1" applyFont="1" applyBorder="1" applyAlignment="1">
      <alignment horizontal="center" vertical="center"/>
    </xf>
    <xf numFmtId="169" fontId="15" fillId="0" borderId="12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3" fontId="0" fillId="0" borderId="0" xfId="0" applyNumberFormat="1"/>
    <xf numFmtId="17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4" fontId="21" fillId="0" borderId="4" xfId="0" applyNumberFormat="1" applyFont="1" applyBorder="1" applyAlignment="1">
      <alignment horizontal="center" vertical="center"/>
    </xf>
    <xf numFmtId="174" fontId="0" fillId="0" borderId="0" xfId="0" applyNumberFormat="1"/>
    <xf numFmtId="1" fontId="0" fillId="0" borderId="0" xfId="0" applyNumberFormat="1"/>
    <xf numFmtId="167" fontId="11" fillId="0" borderId="13" xfId="0" applyNumberFormat="1" applyFont="1" applyBorder="1" applyAlignment="1">
      <alignment vertical="center"/>
    </xf>
    <xf numFmtId="167" fontId="11" fillId="0" borderId="14" xfId="0" applyNumberFormat="1" applyFont="1" applyBorder="1" applyAlignment="1">
      <alignment horizontal="center" vertical="center"/>
    </xf>
    <xf numFmtId="167" fontId="11" fillId="0" borderId="15" xfId="0" applyNumberFormat="1" applyFont="1" applyBorder="1" applyAlignment="1">
      <alignment horizontal="center" vertical="center"/>
    </xf>
    <xf numFmtId="167" fontId="15" fillId="0" borderId="16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12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left" vertical="center"/>
    </xf>
    <xf numFmtId="4" fontId="19" fillId="0" borderId="18" xfId="0" applyNumberFormat="1" applyFont="1" applyBorder="1" applyAlignment="1">
      <alignment horizontal="center" vertical="center"/>
    </xf>
    <xf numFmtId="170" fontId="15" fillId="0" borderId="5" xfId="0" applyNumberFormat="1" applyFont="1" applyBorder="1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" fontId="17" fillId="0" borderId="20" xfId="0" applyNumberFormat="1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4" fontId="17" fillId="0" borderId="31" xfId="0" applyNumberFormat="1" applyFont="1" applyBorder="1" applyAlignment="1">
      <alignment horizontal="center" vertical="center"/>
    </xf>
    <xf numFmtId="4" fontId="17" fillId="0" borderId="20" xfId="0" applyNumberFormat="1" applyFont="1" applyBorder="1" applyAlignment="1">
      <alignment horizontal="center" vertical="center"/>
    </xf>
    <xf numFmtId="4" fontId="17" fillId="0" borderId="32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16" fillId="0" borderId="30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75" fontId="16" fillId="0" borderId="30" xfId="0" applyNumberFormat="1" applyFont="1" applyBorder="1" applyAlignment="1">
      <alignment horizontal="center" vertical="center"/>
    </xf>
    <xf numFmtId="175" fontId="16" fillId="0" borderId="2" xfId="0" applyNumberFormat="1" applyFont="1" applyBorder="1" applyAlignment="1">
      <alignment horizontal="center" vertical="center"/>
    </xf>
    <xf numFmtId="4" fontId="17" fillId="0" borderId="27" xfId="0" applyNumberFormat="1" applyFont="1" applyBorder="1" applyAlignment="1">
      <alignment horizontal="center" vertical="center"/>
    </xf>
    <xf numFmtId="4" fontId="17" fillId="0" borderId="11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167" fontId="15" fillId="0" borderId="17" xfId="0" applyNumberFormat="1" applyFont="1" applyBorder="1" applyAlignment="1">
      <alignment horizontal="center" vertical="center"/>
    </xf>
    <xf numFmtId="169" fontId="15" fillId="0" borderId="19" xfId="0" applyNumberFormat="1" applyFont="1" applyBorder="1" applyAlignment="1">
      <alignment horizontal="center" vertical="center"/>
    </xf>
    <xf numFmtId="169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/>
    </xf>
    <xf numFmtId="170" fontId="15" fillId="0" borderId="7" xfId="0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Data!$B$11:$B$26</c:f>
              <c:numCache>
                <c:formatCode>#,##0.0</c:formatCode>
                <c:ptCount val="16"/>
                <c:pt idx="0">
                  <c:v>399.7</c:v>
                </c:pt>
                <c:pt idx="1">
                  <c:v>397.6</c:v>
                </c:pt>
                <c:pt idx="2">
                  <c:v>398.2</c:v>
                </c:pt>
                <c:pt idx="3">
                  <c:v>399.1</c:v>
                </c:pt>
                <c:pt idx="4">
                  <c:v>401.6</c:v>
                </c:pt>
                <c:pt idx="5">
                  <c:v>401.7</c:v>
                </c:pt>
                <c:pt idx="6">
                  <c:v>396.5</c:v>
                </c:pt>
                <c:pt idx="7">
                  <c:v>397.5</c:v>
                </c:pt>
                <c:pt idx="8">
                  <c:v>391.4</c:v>
                </c:pt>
                <c:pt idx="9">
                  <c:v>397.5</c:v>
                </c:pt>
                <c:pt idx="10">
                  <c:v>393.5</c:v>
                </c:pt>
                <c:pt idx="11">
                  <c:v>395.1</c:v>
                </c:pt>
                <c:pt idx="12">
                  <c:v>394</c:v>
                </c:pt>
                <c:pt idx="13">
                  <c:v>389.7</c:v>
                </c:pt>
                <c:pt idx="14">
                  <c:v>384.3</c:v>
                </c:pt>
                <c:pt idx="15">
                  <c:v>394.6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Data!$C$11:$C$26</c:f>
              <c:numCache>
                <c:formatCode>#,##0.0</c:formatCode>
                <c:ptCount val="16"/>
                <c:pt idx="0">
                  <c:v>400.8</c:v>
                </c:pt>
                <c:pt idx="1">
                  <c:v>398.9</c:v>
                </c:pt>
                <c:pt idx="2">
                  <c:v>399.6</c:v>
                </c:pt>
                <c:pt idx="3">
                  <c:v>400.3</c:v>
                </c:pt>
                <c:pt idx="4">
                  <c:v>402.8</c:v>
                </c:pt>
                <c:pt idx="5">
                  <c:v>403.1</c:v>
                </c:pt>
                <c:pt idx="6">
                  <c:v>397.6</c:v>
                </c:pt>
                <c:pt idx="7">
                  <c:v>398.6</c:v>
                </c:pt>
                <c:pt idx="8">
                  <c:v>392.8</c:v>
                </c:pt>
                <c:pt idx="9">
                  <c:v>399</c:v>
                </c:pt>
                <c:pt idx="10">
                  <c:v>394.9</c:v>
                </c:pt>
                <c:pt idx="11">
                  <c:v>396.7</c:v>
                </c:pt>
                <c:pt idx="12">
                  <c:v>395.1</c:v>
                </c:pt>
                <c:pt idx="13">
                  <c:v>391.4</c:v>
                </c:pt>
                <c:pt idx="14">
                  <c:v>386.1</c:v>
                </c:pt>
                <c:pt idx="15">
                  <c:v>396.3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Data!$D$11:$D$26</c:f>
              <c:numCache>
                <c:formatCode>#,##0.0</c:formatCode>
                <c:ptCount val="16"/>
                <c:pt idx="0">
                  <c:v>399.5</c:v>
                </c:pt>
                <c:pt idx="1">
                  <c:v>397.3</c:v>
                </c:pt>
                <c:pt idx="2">
                  <c:v>397.7</c:v>
                </c:pt>
                <c:pt idx="3">
                  <c:v>398.4</c:v>
                </c:pt>
                <c:pt idx="4">
                  <c:v>400.9</c:v>
                </c:pt>
                <c:pt idx="5">
                  <c:v>401.3</c:v>
                </c:pt>
                <c:pt idx="6">
                  <c:v>396</c:v>
                </c:pt>
                <c:pt idx="7">
                  <c:v>397.7</c:v>
                </c:pt>
                <c:pt idx="8">
                  <c:v>391.8</c:v>
                </c:pt>
                <c:pt idx="9">
                  <c:v>397.5</c:v>
                </c:pt>
                <c:pt idx="10">
                  <c:v>393.5</c:v>
                </c:pt>
                <c:pt idx="11">
                  <c:v>395.3</c:v>
                </c:pt>
                <c:pt idx="12">
                  <c:v>394</c:v>
                </c:pt>
                <c:pt idx="13">
                  <c:v>389.9</c:v>
                </c:pt>
                <c:pt idx="14">
                  <c:v>384.6</c:v>
                </c:pt>
                <c:pt idx="15">
                  <c:v>395.5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Data!$E$11:$E$26</c:f>
              <c:numCache>
                <c:formatCode>#,##0.0</c:formatCode>
                <c:ptCount val="16"/>
                <c:pt idx="0">
                  <c:v>230.2</c:v>
                </c:pt>
                <c:pt idx="1">
                  <c:v>228.9</c:v>
                </c:pt>
                <c:pt idx="2">
                  <c:v>229.2</c:v>
                </c:pt>
                <c:pt idx="3">
                  <c:v>229.7</c:v>
                </c:pt>
                <c:pt idx="4">
                  <c:v>231.2</c:v>
                </c:pt>
                <c:pt idx="5">
                  <c:v>231.2</c:v>
                </c:pt>
                <c:pt idx="6">
                  <c:v>228.3</c:v>
                </c:pt>
                <c:pt idx="7">
                  <c:v>229.1</c:v>
                </c:pt>
                <c:pt idx="8">
                  <c:v>225.7</c:v>
                </c:pt>
                <c:pt idx="9">
                  <c:v>229</c:v>
                </c:pt>
                <c:pt idx="10">
                  <c:v>226.6</c:v>
                </c:pt>
                <c:pt idx="11">
                  <c:v>227.6</c:v>
                </c:pt>
                <c:pt idx="12">
                  <c:v>227</c:v>
                </c:pt>
                <c:pt idx="13">
                  <c:v>224.4</c:v>
                </c:pt>
                <c:pt idx="14">
                  <c:v>221.3</c:v>
                </c:pt>
                <c:pt idx="15">
                  <c:v>227.6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Data!$F$11:$F$26</c:f>
              <c:numCache>
                <c:formatCode>#,##0.0</c:formatCode>
                <c:ptCount val="16"/>
                <c:pt idx="0">
                  <c:v>231.6</c:v>
                </c:pt>
                <c:pt idx="1">
                  <c:v>230.5</c:v>
                </c:pt>
                <c:pt idx="2">
                  <c:v>230.9</c:v>
                </c:pt>
                <c:pt idx="3">
                  <c:v>231.5</c:v>
                </c:pt>
                <c:pt idx="4">
                  <c:v>232.9</c:v>
                </c:pt>
                <c:pt idx="5">
                  <c:v>233</c:v>
                </c:pt>
                <c:pt idx="6">
                  <c:v>229.8</c:v>
                </c:pt>
                <c:pt idx="7">
                  <c:v>230.2</c:v>
                </c:pt>
                <c:pt idx="8">
                  <c:v>226.9</c:v>
                </c:pt>
                <c:pt idx="9">
                  <c:v>230.5</c:v>
                </c:pt>
                <c:pt idx="10">
                  <c:v>228.2</c:v>
                </c:pt>
                <c:pt idx="11">
                  <c:v>229.2</c:v>
                </c:pt>
                <c:pt idx="12">
                  <c:v>228.4</c:v>
                </c:pt>
                <c:pt idx="13">
                  <c:v>226</c:v>
                </c:pt>
                <c:pt idx="14">
                  <c:v>223</c:v>
                </c:pt>
                <c:pt idx="15">
                  <c:v>228.8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Data!$G$11:$G$26</c:f>
              <c:numCache>
                <c:formatCode>#,##0.0</c:formatCode>
                <c:ptCount val="16"/>
                <c:pt idx="0">
                  <c:v>230.8</c:v>
                </c:pt>
                <c:pt idx="1">
                  <c:v>229.7</c:v>
                </c:pt>
                <c:pt idx="2">
                  <c:v>230.1</c:v>
                </c:pt>
                <c:pt idx="3">
                  <c:v>230.5</c:v>
                </c:pt>
                <c:pt idx="4">
                  <c:v>231.9</c:v>
                </c:pt>
                <c:pt idx="5">
                  <c:v>232.1</c:v>
                </c:pt>
                <c:pt idx="6">
                  <c:v>228.9</c:v>
                </c:pt>
                <c:pt idx="7">
                  <c:v>229.8</c:v>
                </c:pt>
                <c:pt idx="8">
                  <c:v>226.5</c:v>
                </c:pt>
                <c:pt idx="9">
                  <c:v>230</c:v>
                </c:pt>
                <c:pt idx="10">
                  <c:v>227.6</c:v>
                </c:pt>
                <c:pt idx="11">
                  <c:v>228.6</c:v>
                </c:pt>
                <c:pt idx="12">
                  <c:v>227.8</c:v>
                </c:pt>
                <c:pt idx="13">
                  <c:v>225.5</c:v>
                </c:pt>
                <c:pt idx="14">
                  <c:v>222.4</c:v>
                </c:pt>
                <c:pt idx="15">
                  <c:v>228.5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Data!$H$11:$H$26</c:f>
              <c:numCache>
                <c:formatCode>#,##0.0</c:formatCode>
                <c:ptCount val="16"/>
                <c:pt idx="0">
                  <c:v>1.1000000000000001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1.3</c:v>
                </c:pt>
                <c:pt idx="11">
                  <c:v>1.3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Data!$I$11:$I$26</c:f>
              <c:numCache>
                <c:formatCode>#,##0.0</c:formatCode>
                <c:ptCount val="16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1.1000000000000001</c:v>
                </c:pt>
                <c:pt idx="8">
                  <c:v>1.2</c:v>
                </c:pt>
                <c:pt idx="9">
                  <c:v>1.2</c:v>
                </c:pt>
                <c:pt idx="10">
                  <c:v>1.3</c:v>
                </c:pt>
                <c:pt idx="11">
                  <c:v>1.2</c:v>
                </c:pt>
                <c:pt idx="12">
                  <c:v>1.2</c:v>
                </c:pt>
                <c:pt idx="13">
                  <c:v>1.3</c:v>
                </c:pt>
                <c:pt idx="14">
                  <c:v>1.1000000000000001</c:v>
                </c:pt>
                <c:pt idx="1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Data!$J$11:$J$26</c:f>
              <c:numCache>
                <c:formatCode>#,##0.0</c:formatCode>
                <c:ptCount val="16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1.6</c:v>
                </c:pt>
                <c:pt idx="14">
                  <c:v>1.5</c:v>
                </c:pt>
                <c:pt idx="1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Data!$W$11:$W$26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  <c:pt idx="15">
                  <c:v>17:00</c:v>
                </c:pt>
              </c:strCache>
            </c:strRef>
          </c:cat>
          <c:val>
            <c:numRef>
              <c:f>Data!$L$11:$L$26</c:f>
              <c:numCache>
                <c:formatCode>#,##0.00</c:formatCode>
                <c:ptCount val="1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Data!$M$11:$M$26</c:f>
              <c:numCache>
                <c:formatCode>#,##0.00</c:formatCode>
                <c:ptCount val="16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Data!$N$11:$N$26</c:f>
              <c:numCache>
                <c:formatCode>#,##0.00</c:formatCode>
                <c:ptCount val="1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Data!$W$12:$W$26</c:f>
              <c:strCache>
                <c:ptCount val="15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</c:strCache>
            </c:strRef>
          </c:cat>
          <c:val>
            <c:numRef>
              <c:f>Data!$X$12:$X$26</c:f>
              <c:numCache>
                <c:formatCode>#,##0.00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69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Data!$W$12:$W$26</c:f>
              <c:strCache>
                <c:ptCount val="15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</c:strCache>
            </c:strRef>
          </c:cat>
          <c:val>
            <c:numRef>
              <c:f>Data!$X$12:$X$26</c:f>
              <c:numCache>
                <c:formatCode>#,##0.00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219700" y="4010025"/>
          <a:ext cx="3857625" cy="222885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▼88.41 %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7625" y="4505325"/>
          <a:ext cx="2533650" cy="148590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maximum : 1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minimum : 0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average : 1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K27"/>
  <sheetViews>
    <sheetView showGridLines="0" tabSelected="1" view="pageBreakPreview" zoomScaleNormal="115" zoomScaleSheetLayoutView="100" zoomScalePageLayoutView="130" workbookViewId="0">
      <selection activeCell="A5" sqref="A5:U5"/>
    </sheetView>
  </sheetViews>
  <sheetFormatPr defaultRowHeight="21.75" x14ac:dyDescent="0.5"/>
  <cols>
    <col min="1" max="1" width="16.42578125" style="60" customWidth="1"/>
    <col min="2" max="14" width="11.7109375" style="16" customWidth="1"/>
    <col min="15" max="15" width="13" style="16" customWidth="1"/>
    <col min="16" max="17" width="14.7109375" style="16" customWidth="1"/>
    <col min="18" max="18" width="14.7109375" style="16" bestFit="1" customWidth="1"/>
    <col min="19" max="19" width="25.7109375" style="16" customWidth="1"/>
    <col min="20" max="20" width="9.140625" style="1" customWidth="1"/>
    <col min="21" max="22" width="9.140625" style="1"/>
    <col min="23" max="23" width="11.85546875" style="1" customWidth="1"/>
    <col min="24" max="24" width="12.28515625" style="1" customWidth="1"/>
    <col min="25" max="25" width="16" style="1" customWidth="1"/>
    <col min="26" max="26" width="13" style="1" customWidth="1"/>
    <col min="27" max="27" width="14.28515625" style="1" bestFit="1" customWidth="1"/>
    <col min="28" max="16384" width="9.140625" style="1"/>
  </cols>
  <sheetData>
    <row r="1" spans="1:37" s="5" customFormat="1" ht="19.5" customHeight="1" x14ac:dyDescent="0.5">
      <c r="A1" s="18" t="s">
        <v>1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7" s="5" customFormat="1" ht="30" x14ac:dyDescent="0.5">
      <c r="A2" s="91" t="s">
        <v>47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17"/>
    </row>
    <row r="3" spans="1:37" s="5" customFormat="1" ht="9.75" customHeight="1" x14ac:dyDescent="0.5">
      <c r="A3" s="18"/>
      <c r="B3" s="61"/>
      <c r="C3" s="6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37" s="5" customFormat="1" ht="22.5" customHeight="1" x14ac:dyDescent="0.5">
      <c r="A4" s="92" t="s">
        <v>61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37" s="5" customFormat="1" ht="22.5" x14ac:dyDescent="0.5">
      <c r="A5" s="92" t="s">
        <v>46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</row>
    <row r="6" spans="1:37" s="7" customFormat="1" ht="21" customHeight="1" x14ac:dyDescent="0.5">
      <c r="A6" s="21"/>
      <c r="B6" s="62" t="s">
        <v>79</v>
      </c>
      <c r="C6" s="63"/>
      <c r="D6" s="63"/>
      <c r="E6" s="64"/>
      <c r="F6" s="65"/>
      <c r="G6" s="66"/>
      <c r="H6" s="13"/>
      <c r="I6" s="13"/>
      <c r="J6" s="13"/>
      <c r="K6" s="13"/>
      <c r="L6" s="11"/>
      <c r="M6" s="11"/>
      <c r="N6" s="11"/>
      <c r="O6" s="11"/>
      <c r="P6" s="11"/>
      <c r="Q6" s="11"/>
      <c r="R6" s="11"/>
      <c r="S6" s="11"/>
      <c r="T6" s="6"/>
      <c r="U6" s="6"/>
    </row>
    <row r="7" spans="1:37" s="7" customFormat="1" ht="3" customHeight="1" thickBot="1" x14ac:dyDescent="0.55000000000000004">
      <c r="A7" s="22">
        <f>K7-1</f>
        <v>-1</v>
      </c>
      <c r="B7" s="53">
        <f>K7+1</f>
        <v>1</v>
      </c>
      <c r="C7" s="14"/>
      <c r="D7" s="14"/>
      <c r="E7" s="15"/>
      <c r="F7" s="15"/>
      <c r="G7" s="15"/>
      <c r="H7" s="15"/>
      <c r="I7" s="22"/>
      <c r="J7" s="22"/>
      <c r="K7" s="22"/>
      <c r="L7" s="50"/>
      <c r="M7" s="73"/>
      <c r="N7" s="73"/>
      <c r="O7" s="72" t="s">
        <v>78</v>
      </c>
      <c r="P7" s="72"/>
      <c r="Q7" s="15"/>
      <c r="R7" s="15"/>
      <c r="S7" s="15"/>
    </row>
    <row r="8" spans="1:37" s="4" customFormat="1" ht="18" customHeight="1" x14ac:dyDescent="0.5">
      <c r="A8" s="56"/>
      <c r="B8" s="77" t="s">
        <v>13</v>
      </c>
      <c r="C8" s="77"/>
      <c r="D8" s="77"/>
      <c r="E8" s="77"/>
      <c r="F8" s="77"/>
      <c r="G8" s="77"/>
      <c r="H8" s="78" t="s">
        <v>2</v>
      </c>
      <c r="I8" s="78"/>
      <c r="J8" s="78"/>
      <c r="K8" s="74"/>
      <c r="L8" s="87" t="s">
        <v>45</v>
      </c>
      <c r="M8" s="78"/>
      <c r="N8" s="88"/>
      <c r="O8" s="79" t="s">
        <v>30</v>
      </c>
      <c r="P8" s="87" t="s">
        <v>3</v>
      </c>
      <c r="Q8" s="78"/>
      <c r="R8" s="88"/>
      <c r="S8" s="42" t="s">
        <v>4</v>
      </c>
      <c r="T8" s="93" t="s">
        <v>0</v>
      </c>
      <c r="U8" s="94"/>
      <c r="V8" s="2"/>
      <c r="W8" s="2"/>
      <c r="X8" s="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s="4" customFormat="1" ht="18.75" customHeight="1" x14ac:dyDescent="0.5">
      <c r="A9" s="57" t="s">
        <v>14</v>
      </c>
      <c r="B9" s="39" t="s">
        <v>49</v>
      </c>
      <c r="C9" s="39" t="s">
        <v>50</v>
      </c>
      <c r="D9" s="39" t="s">
        <v>51</v>
      </c>
      <c r="E9" s="39" t="s">
        <v>48</v>
      </c>
      <c r="F9" s="39" t="s">
        <v>52</v>
      </c>
      <c r="G9" s="39" t="s">
        <v>53</v>
      </c>
      <c r="H9" s="39" t="s">
        <v>54</v>
      </c>
      <c r="I9" s="39" t="s">
        <v>57</v>
      </c>
      <c r="J9" s="39" t="s">
        <v>55</v>
      </c>
      <c r="K9" s="39" t="s">
        <v>56</v>
      </c>
      <c r="L9" s="89" t="s">
        <v>58</v>
      </c>
      <c r="M9" s="89" t="s">
        <v>59</v>
      </c>
      <c r="N9" s="89" t="s">
        <v>60</v>
      </c>
      <c r="O9" s="80"/>
      <c r="P9" s="40" t="s">
        <v>5</v>
      </c>
      <c r="Q9" s="40" t="s">
        <v>6</v>
      </c>
      <c r="R9" s="40" t="s">
        <v>7</v>
      </c>
      <c r="S9" s="41" t="s">
        <v>19</v>
      </c>
      <c r="T9" s="95"/>
      <c r="U9" s="96"/>
      <c r="V9" s="8"/>
      <c r="W9" s="2"/>
      <c r="X9" s="32"/>
      <c r="Y9" s="33"/>
      <c r="Z9" s="3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s="10" customFormat="1" ht="17.25" customHeight="1" thickBot="1" x14ac:dyDescent="0.55000000000000004">
      <c r="A10" s="58" t="s">
        <v>15</v>
      </c>
      <c r="B10" s="67" t="s">
        <v>8</v>
      </c>
      <c r="C10" s="67" t="s">
        <v>8</v>
      </c>
      <c r="D10" s="67" t="s">
        <v>8</v>
      </c>
      <c r="E10" s="67" t="s">
        <v>8</v>
      </c>
      <c r="F10" s="67" t="s">
        <v>8</v>
      </c>
      <c r="G10" s="67" t="s">
        <v>8</v>
      </c>
      <c r="H10" s="43" t="s">
        <v>9</v>
      </c>
      <c r="I10" s="43" t="s">
        <v>9</v>
      </c>
      <c r="J10" s="43" t="s">
        <v>9</v>
      </c>
      <c r="K10" s="43" t="s">
        <v>9</v>
      </c>
      <c r="L10" s="90"/>
      <c r="M10" s="90"/>
      <c r="N10" s="90"/>
      <c r="O10" s="43" t="s">
        <v>31</v>
      </c>
      <c r="P10" s="43" t="s">
        <v>10</v>
      </c>
      <c r="Q10" s="43" t="s">
        <v>11</v>
      </c>
      <c r="R10" s="43" t="s">
        <v>12</v>
      </c>
      <c r="S10" s="44" t="s">
        <v>18</v>
      </c>
      <c r="T10" s="97"/>
      <c r="U10" s="98"/>
      <c r="V10" s="8"/>
      <c r="W10" s="25" t="s">
        <v>16</v>
      </c>
      <c r="X10" s="25" t="s">
        <v>17</v>
      </c>
      <c r="Y10" s="26"/>
      <c r="Z10" s="34"/>
      <c r="AA10" s="20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s="5" customFormat="1" ht="32.1" customHeight="1" x14ac:dyDescent="0.5">
      <c r="A11" s="59" t="s">
        <v>62</v>
      </c>
      <c r="B11" s="46">
        <v>399.7</v>
      </c>
      <c r="C11" s="46">
        <v>400.8</v>
      </c>
      <c r="D11" s="46">
        <v>399.5</v>
      </c>
      <c r="E11" s="46">
        <v>230.2</v>
      </c>
      <c r="F11" s="46">
        <v>231.6</v>
      </c>
      <c r="G11" s="46">
        <v>230.8</v>
      </c>
      <c r="H11" s="45">
        <v>1.1000000000000001</v>
      </c>
      <c r="I11" s="45">
        <v>1.2</v>
      </c>
      <c r="J11" s="45">
        <v>1.5</v>
      </c>
      <c r="K11" s="45">
        <v>1.2</v>
      </c>
      <c r="L11" s="38">
        <v>0.2</v>
      </c>
      <c r="M11" s="38">
        <v>0.3</v>
      </c>
      <c r="N11" s="38">
        <v>0.9</v>
      </c>
      <c r="O11" s="38">
        <v>50.03</v>
      </c>
      <c r="P11" s="68">
        <v>0.46</v>
      </c>
      <c r="Q11" s="68">
        <v>-0.629</v>
      </c>
      <c r="R11" s="68">
        <v>0.872</v>
      </c>
      <c r="S11" s="47">
        <v>2339</v>
      </c>
      <c r="T11" s="75"/>
      <c r="U11" s="76"/>
      <c r="W11" s="27" t="str">
        <f t="shared" ref="W11:W26" si="0">LEFT(A11,5)</f>
        <v>00:00</v>
      </c>
      <c r="X11" s="28"/>
      <c r="Y11" s="28"/>
      <c r="Z11" s="35"/>
    </row>
    <row r="12" spans="1:37" s="5" customFormat="1" ht="32.1" customHeight="1" x14ac:dyDescent="0.5">
      <c r="A12" s="59" t="s">
        <v>63</v>
      </c>
      <c r="B12" s="46">
        <v>397.6</v>
      </c>
      <c r="C12" s="46">
        <v>398.9</v>
      </c>
      <c r="D12" s="46">
        <v>397.3</v>
      </c>
      <c r="E12" s="46">
        <v>228.9</v>
      </c>
      <c r="F12" s="46">
        <v>230.5</v>
      </c>
      <c r="G12" s="46">
        <v>229.7</v>
      </c>
      <c r="H12" s="45">
        <v>1.2</v>
      </c>
      <c r="I12" s="45">
        <v>1.2</v>
      </c>
      <c r="J12" s="45">
        <v>1.5</v>
      </c>
      <c r="K12" s="45">
        <v>1.2</v>
      </c>
      <c r="L12" s="38">
        <v>0.2</v>
      </c>
      <c r="M12" s="38">
        <v>0.3</v>
      </c>
      <c r="N12" s="38">
        <v>0.9</v>
      </c>
      <c r="O12" s="38">
        <v>50</v>
      </c>
      <c r="P12" s="68">
        <v>0.45600000000000002</v>
      </c>
      <c r="Q12" s="68">
        <v>-0.628</v>
      </c>
      <c r="R12" s="68">
        <v>0.86899999999999999</v>
      </c>
      <c r="S12" s="47">
        <v>2339</v>
      </c>
      <c r="T12" s="83">
        <f>(MAX(S11:S26))-S11</f>
        <v>8</v>
      </c>
      <c r="U12" s="84"/>
      <c r="W12" s="27" t="str">
        <f t="shared" si="0"/>
        <v>01:00</v>
      </c>
      <c r="X12" s="29">
        <f>ROUND((S12-S11),2)</f>
        <v>0</v>
      </c>
      <c r="Y12" s="28"/>
      <c r="Z12" s="35"/>
    </row>
    <row r="13" spans="1:37" s="5" customFormat="1" ht="32.1" customHeight="1" x14ac:dyDescent="0.5">
      <c r="A13" s="59" t="s">
        <v>64</v>
      </c>
      <c r="B13" s="46">
        <v>398.2</v>
      </c>
      <c r="C13" s="46">
        <v>399.6</v>
      </c>
      <c r="D13" s="46">
        <v>397.7</v>
      </c>
      <c r="E13" s="46">
        <v>229.2</v>
      </c>
      <c r="F13" s="46">
        <v>230.9</v>
      </c>
      <c r="G13" s="46">
        <v>230.1</v>
      </c>
      <c r="H13" s="45">
        <v>1.2</v>
      </c>
      <c r="I13" s="45">
        <v>1.2</v>
      </c>
      <c r="J13" s="45">
        <v>1.5</v>
      </c>
      <c r="K13" s="45">
        <v>1.2</v>
      </c>
      <c r="L13" s="38">
        <v>0.2</v>
      </c>
      <c r="M13" s="38">
        <v>0.3</v>
      </c>
      <c r="N13" s="38">
        <v>0.9</v>
      </c>
      <c r="O13" s="38">
        <v>50.02</v>
      </c>
      <c r="P13" s="68">
        <v>0.46100000000000002</v>
      </c>
      <c r="Q13" s="68">
        <v>-0.629</v>
      </c>
      <c r="R13" s="68">
        <v>0.874</v>
      </c>
      <c r="S13" s="47">
        <v>2340</v>
      </c>
      <c r="T13" s="81" t="s">
        <v>20</v>
      </c>
      <c r="U13" s="82"/>
      <c r="W13" s="27" t="str">
        <f t="shared" si="0"/>
        <v>02:00</v>
      </c>
      <c r="X13" s="29">
        <f t="shared" ref="X13:X26" si="1">ROUND((S13-S12),2)</f>
        <v>1</v>
      </c>
      <c r="Y13" s="28"/>
      <c r="Z13" s="35"/>
    </row>
    <row r="14" spans="1:37" s="5" customFormat="1" ht="32.1" customHeight="1" x14ac:dyDescent="0.5">
      <c r="A14" s="59" t="s">
        <v>65</v>
      </c>
      <c r="B14" s="46">
        <v>399.1</v>
      </c>
      <c r="C14" s="46">
        <v>400.3</v>
      </c>
      <c r="D14" s="46">
        <v>398.4</v>
      </c>
      <c r="E14" s="46">
        <v>229.7</v>
      </c>
      <c r="F14" s="46">
        <v>231.5</v>
      </c>
      <c r="G14" s="46">
        <v>230.5</v>
      </c>
      <c r="H14" s="45">
        <v>1.2</v>
      </c>
      <c r="I14" s="45">
        <v>1.2</v>
      </c>
      <c r="J14" s="45">
        <v>1.5</v>
      </c>
      <c r="K14" s="45">
        <v>1.2</v>
      </c>
      <c r="L14" s="38">
        <v>0.2</v>
      </c>
      <c r="M14" s="38">
        <v>0.3</v>
      </c>
      <c r="N14" s="38">
        <v>0.9</v>
      </c>
      <c r="O14" s="38">
        <v>49.98</v>
      </c>
      <c r="P14" s="68">
        <v>0.46</v>
      </c>
      <c r="Q14" s="68">
        <v>-0.627</v>
      </c>
      <c r="R14" s="68">
        <v>0.872</v>
      </c>
      <c r="S14" s="47">
        <v>2340</v>
      </c>
      <c r="T14" s="85"/>
      <c r="U14" s="86"/>
      <c r="W14" s="27" t="str">
        <f t="shared" si="0"/>
        <v>03:00</v>
      </c>
      <c r="X14" s="29">
        <f t="shared" si="1"/>
        <v>0</v>
      </c>
      <c r="Y14" s="28">
        <f t="shared" ref="Y14:Y26" si="2">IFERROR(ROUND((L14/N14),2),"")</f>
        <v>0.22</v>
      </c>
      <c r="Z14" s="35"/>
    </row>
    <row r="15" spans="1:37" s="5" customFormat="1" ht="32.1" customHeight="1" x14ac:dyDescent="0.5">
      <c r="A15" s="59" t="s">
        <v>66</v>
      </c>
      <c r="B15" s="46">
        <v>401.6</v>
      </c>
      <c r="C15" s="46">
        <v>402.8</v>
      </c>
      <c r="D15" s="46">
        <v>400.9</v>
      </c>
      <c r="E15" s="46">
        <v>231.2</v>
      </c>
      <c r="F15" s="46">
        <v>232.9</v>
      </c>
      <c r="G15" s="46">
        <v>231.9</v>
      </c>
      <c r="H15" s="45">
        <v>1.2</v>
      </c>
      <c r="I15" s="45">
        <v>1.2</v>
      </c>
      <c r="J15" s="45">
        <v>1.5</v>
      </c>
      <c r="K15" s="45">
        <v>1.2</v>
      </c>
      <c r="L15" s="38">
        <v>0.2</v>
      </c>
      <c r="M15" s="38">
        <v>0.3</v>
      </c>
      <c r="N15" s="38">
        <v>0.9</v>
      </c>
      <c r="O15" s="38">
        <v>50.02</v>
      </c>
      <c r="P15" s="68">
        <v>0.46400000000000002</v>
      </c>
      <c r="Q15" s="68">
        <v>-0.63600000000000001</v>
      </c>
      <c r="R15" s="68">
        <v>0.88100000000000001</v>
      </c>
      <c r="S15" s="47">
        <v>2341</v>
      </c>
      <c r="T15" s="81"/>
      <c r="U15" s="82"/>
      <c r="W15" s="27" t="str">
        <f t="shared" si="0"/>
        <v>04:00</v>
      </c>
      <c r="X15" s="29">
        <f t="shared" si="1"/>
        <v>1</v>
      </c>
      <c r="Y15" s="28">
        <f t="shared" si="2"/>
        <v>0.22</v>
      </c>
      <c r="Z15" s="35"/>
    </row>
    <row r="16" spans="1:37" s="5" customFormat="1" ht="32.1" customHeight="1" x14ac:dyDescent="0.5">
      <c r="A16" s="59" t="s">
        <v>67</v>
      </c>
      <c r="B16" s="46">
        <v>401.7</v>
      </c>
      <c r="C16" s="46">
        <v>403.1</v>
      </c>
      <c r="D16" s="46">
        <v>401.3</v>
      </c>
      <c r="E16" s="46">
        <v>231.2</v>
      </c>
      <c r="F16" s="46">
        <v>233</v>
      </c>
      <c r="G16" s="46">
        <v>232.1</v>
      </c>
      <c r="H16" s="45">
        <v>1.2</v>
      </c>
      <c r="I16" s="45">
        <v>1.2</v>
      </c>
      <c r="J16" s="45">
        <v>1.5</v>
      </c>
      <c r="K16" s="45">
        <v>1.2</v>
      </c>
      <c r="L16" s="38">
        <v>0.2</v>
      </c>
      <c r="M16" s="38">
        <v>0.3</v>
      </c>
      <c r="N16" s="38">
        <v>0.9</v>
      </c>
      <c r="O16" s="38">
        <v>50.05</v>
      </c>
      <c r="P16" s="68">
        <v>0.46100000000000002</v>
      </c>
      <c r="Q16" s="68">
        <v>-0.64</v>
      </c>
      <c r="R16" s="68">
        <v>0.88600000000000001</v>
      </c>
      <c r="S16" s="47">
        <v>2341</v>
      </c>
      <c r="T16" s="85"/>
      <c r="U16" s="86"/>
      <c r="W16" s="27" t="str">
        <f t="shared" si="0"/>
        <v>05:00</v>
      </c>
      <c r="X16" s="29">
        <f t="shared" si="1"/>
        <v>0</v>
      </c>
      <c r="Y16" s="28">
        <f t="shared" si="2"/>
        <v>0.22</v>
      </c>
      <c r="Z16" s="35"/>
    </row>
    <row r="17" spans="1:26" s="5" customFormat="1" ht="32.1" customHeight="1" x14ac:dyDescent="0.5">
      <c r="A17" s="59" t="s">
        <v>68</v>
      </c>
      <c r="B17" s="46">
        <v>396.5</v>
      </c>
      <c r="C17" s="46">
        <v>397.6</v>
      </c>
      <c r="D17" s="46">
        <v>396</v>
      </c>
      <c r="E17" s="46">
        <v>228.3</v>
      </c>
      <c r="F17" s="46">
        <v>229.8</v>
      </c>
      <c r="G17" s="46">
        <v>228.9</v>
      </c>
      <c r="H17" s="45">
        <v>1.2</v>
      </c>
      <c r="I17" s="45">
        <v>1.2</v>
      </c>
      <c r="J17" s="45">
        <v>1.5</v>
      </c>
      <c r="K17" s="45">
        <v>1.2</v>
      </c>
      <c r="L17" s="38">
        <v>0.2</v>
      </c>
      <c r="M17" s="38">
        <v>0.3</v>
      </c>
      <c r="N17" s="38">
        <v>0.9</v>
      </c>
      <c r="O17" s="38">
        <v>50.03</v>
      </c>
      <c r="P17" s="68">
        <v>0.45600000000000002</v>
      </c>
      <c r="Q17" s="68">
        <v>-0.624</v>
      </c>
      <c r="R17" s="68">
        <v>0.86699999999999999</v>
      </c>
      <c r="S17" s="47">
        <v>2342</v>
      </c>
      <c r="T17" s="81"/>
      <c r="U17" s="82"/>
      <c r="W17" s="27" t="str">
        <f t="shared" si="0"/>
        <v>06:00</v>
      </c>
      <c r="X17" s="29">
        <f t="shared" si="1"/>
        <v>1</v>
      </c>
      <c r="Y17" s="28">
        <f t="shared" si="2"/>
        <v>0.22</v>
      </c>
      <c r="Z17" s="35"/>
    </row>
    <row r="18" spans="1:26" s="5" customFormat="1" ht="32.1" customHeight="1" x14ac:dyDescent="0.5">
      <c r="A18" s="59" t="s">
        <v>69</v>
      </c>
      <c r="B18" s="46">
        <v>397.5</v>
      </c>
      <c r="C18" s="46">
        <v>398.6</v>
      </c>
      <c r="D18" s="46">
        <v>397.7</v>
      </c>
      <c r="E18" s="46">
        <v>229.1</v>
      </c>
      <c r="F18" s="46">
        <v>230.2</v>
      </c>
      <c r="G18" s="46">
        <v>229.8</v>
      </c>
      <c r="H18" s="45">
        <v>1.2</v>
      </c>
      <c r="I18" s="45">
        <v>1.1000000000000001</v>
      </c>
      <c r="J18" s="45">
        <v>1.5</v>
      </c>
      <c r="K18" s="45">
        <v>1.2</v>
      </c>
      <c r="L18" s="38">
        <v>0.2</v>
      </c>
      <c r="M18" s="38">
        <v>0.3</v>
      </c>
      <c r="N18" s="38">
        <v>0.9</v>
      </c>
      <c r="O18" s="38">
        <v>49.95</v>
      </c>
      <c r="P18" s="68">
        <v>0.46200000000000002</v>
      </c>
      <c r="Q18" s="68">
        <v>-0.61799999999999999</v>
      </c>
      <c r="R18" s="68">
        <v>0.86499999999999999</v>
      </c>
      <c r="S18" s="47">
        <v>2342</v>
      </c>
      <c r="T18" s="37"/>
      <c r="U18" s="36"/>
      <c r="W18" s="27" t="str">
        <f t="shared" si="0"/>
        <v>07:00</v>
      </c>
      <c r="X18" s="29">
        <f t="shared" si="1"/>
        <v>0</v>
      </c>
      <c r="Y18" s="28">
        <f t="shared" si="2"/>
        <v>0.22</v>
      </c>
      <c r="Z18" s="28"/>
    </row>
    <row r="19" spans="1:26" s="5" customFormat="1" ht="32.1" customHeight="1" x14ac:dyDescent="0.5">
      <c r="A19" s="59" t="s">
        <v>70</v>
      </c>
      <c r="B19" s="46">
        <v>391.4</v>
      </c>
      <c r="C19" s="46">
        <v>392.8</v>
      </c>
      <c r="D19" s="46">
        <v>391.8</v>
      </c>
      <c r="E19" s="46">
        <v>225.7</v>
      </c>
      <c r="F19" s="46">
        <v>226.9</v>
      </c>
      <c r="G19" s="46">
        <v>226.5</v>
      </c>
      <c r="H19" s="45">
        <v>1.2</v>
      </c>
      <c r="I19" s="45">
        <v>1.2</v>
      </c>
      <c r="J19" s="45">
        <v>1.5</v>
      </c>
      <c r="K19" s="45">
        <v>1.2</v>
      </c>
      <c r="L19" s="38">
        <v>0.2</v>
      </c>
      <c r="M19" s="38">
        <v>0.3</v>
      </c>
      <c r="N19" s="38">
        <v>0.9</v>
      </c>
      <c r="O19" s="38">
        <v>50.03</v>
      </c>
      <c r="P19" s="68">
        <v>0.45700000000000002</v>
      </c>
      <c r="Q19" s="68">
        <v>-0.63600000000000001</v>
      </c>
      <c r="R19" s="68">
        <v>0.874</v>
      </c>
      <c r="S19" s="47">
        <v>2342</v>
      </c>
      <c r="T19" s="37"/>
      <c r="U19" s="36"/>
      <c r="W19" s="27" t="str">
        <f t="shared" si="0"/>
        <v>08:00</v>
      </c>
      <c r="X19" s="29">
        <f t="shared" si="1"/>
        <v>0</v>
      </c>
      <c r="Y19" s="28">
        <f t="shared" si="2"/>
        <v>0.22</v>
      </c>
      <c r="Z19" s="28"/>
    </row>
    <row r="20" spans="1:26" s="5" customFormat="1" ht="32.1" customHeight="1" x14ac:dyDescent="0.5">
      <c r="A20" s="59" t="s">
        <v>71</v>
      </c>
      <c r="B20" s="46">
        <v>397.5</v>
      </c>
      <c r="C20" s="46">
        <v>399</v>
      </c>
      <c r="D20" s="46">
        <v>397.5</v>
      </c>
      <c r="E20" s="46">
        <v>229</v>
      </c>
      <c r="F20" s="46">
        <v>230.5</v>
      </c>
      <c r="G20" s="46">
        <v>230</v>
      </c>
      <c r="H20" s="45">
        <v>1.2</v>
      </c>
      <c r="I20" s="45">
        <v>1.2</v>
      </c>
      <c r="J20" s="45">
        <v>1.5</v>
      </c>
      <c r="K20" s="45">
        <v>1.2</v>
      </c>
      <c r="L20" s="38">
        <v>0.2</v>
      </c>
      <c r="M20" s="38">
        <v>0.3</v>
      </c>
      <c r="N20" s="38">
        <v>0.9</v>
      </c>
      <c r="O20" s="38">
        <v>50.04</v>
      </c>
      <c r="P20" s="68">
        <v>0.45300000000000001</v>
      </c>
      <c r="Q20" s="68">
        <v>-0.65400000000000003</v>
      </c>
      <c r="R20" s="68">
        <v>0.88500000000000001</v>
      </c>
      <c r="S20" s="47">
        <v>2343</v>
      </c>
      <c r="T20" s="37"/>
      <c r="U20" s="36"/>
      <c r="W20" s="27" t="str">
        <f t="shared" si="0"/>
        <v>10:00</v>
      </c>
      <c r="X20" s="29">
        <f t="shared" si="1"/>
        <v>1</v>
      </c>
      <c r="Y20" s="28">
        <f t="shared" si="2"/>
        <v>0.22</v>
      </c>
      <c r="Z20" s="28"/>
    </row>
    <row r="21" spans="1:26" s="5" customFormat="1" ht="32.1" customHeight="1" x14ac:dyDescent="0.5">
      <c r="A21" s="59" t="s">
        <v>72</v>
      </c>
      <c r="B21" s="46">
        <v>393.5</v>
      </c>
      <c r="C21" s="46">
        <v>394.9</v>
      </c>
      <c r="D21" s="46">
        <v>393.5</v>
      </c>
      <c r="E21" s="46">
        <v>226.6</v>
      </c>
      <c r="F21" s="46">
        <v>228.2</v>
      </c>
      <c r="G21" s="46">
        <v>227.6</v>
      </c>
      <c r="H21" s="45">
        <v>1.3</v>
      </c>
      <c r="I21" s="45">
        <v>1.3</v>
      </c>
      <c r="J21" s="45">
        <v>1.5</v>
      </c>
      <c r="K21" s="45">
        <v>1.3</v>
      </c>
      <c r="L21" s="38">
        <v>0.2</v>
      </c>
      <c r="M21" s="38">
        <v>0.3</v>
      </c>
      <c r="N21" s="38">
        <v>0.9</v>
      </c>
      <c r="O21" s="38">
        <v>50.04</v>
      </c>
      <c r="P21" s="68">
        <v>0.44400000000000001</v>
      </c>
      <c r="Q21" s="68">
        <v>-0.72399999999999998</v>
      </c>
      <c r="R21" s="68">
        <v>0.92700000000000005</v>
      </c>
      <c r="S21" s="47">
        <v>2344</v>
      </c>
      <c r="T21" s="37"/>
      <c r="U21" s="36"/>
      <c r="W21" s="27" t="str">
        <f t="shared" si="0"/>
        <v>11:00</v>
      </c>
      <c r="X21" s="29">
        <f t="shared" si="1"/>
        <v>1</v>
      </c>
      <c r="Y21" s="28">
        <f t="shared" si="2"/>
        <v>0.22</v>
      </c>
      <c r="Z21" s="28"/>
    </row>
    <row r="22" spans="1:26" s="5" customFormat="1" ht="32.1" customHeight="1" x14ac:dyDescent="0.5">
      <c r="A22" s="59" t="s">
        <v>73</v>
      </c>
      <c r="B22" s="46">
        <v>395.1</v>
      </c>
      <c r="C22" s="46">
        <v>396.7</v>
      </c>
      <c r="D22" s="46">
        <v>395.3</v>
      </c>
      <c r="E22" s="46">
        <v>227.6</v>
      </c>
      <c r="F22" s="46">
        <v>229.2</v>
      </c>
      <c r="G22" s="46">
        <v>228.6</v>
      </c>
      <c r="H22" s="45">
        <v>1.3</v>
      </c>
      <c r="I22" s="45">
        <v>1.2</v>
      </c>
      <c r="J22" s="45">
        <v>1.5</v>
      </c>
      <c r="K22" s="45">
        <v>1.3</v>
      </c>
      <c r="L22" s="38">
        <v>0.2</v>
      </c>
      <c r="M22" s="38">
        <v>0.3</v>
      </c>
      <c r="N22" s="38">
        <v>0.9</v>
      </c>
      <c r="O22" s="38">
        <v>50.04</v>
      </c>
      <c r="P22" s="68">
        <v>0.45600000000000002</v>
      </c>
      <c r="Q22" s="68">
        <v>-0.70499999999999996</v>
      </c>
      <c r="R22" s="68">
        <v>0.92</v>
      </c>
      <c r="S22" s="47">
        <v>2344</v>
      </c>
      <c r="T22" s="37"/>
      <c r="U22" s="36"/>
      <c r="W22" s="27" t="str">
        <f t="shared" si="0"/>
        <v>12:00</v>
      </c>
      <c r="X22" s="29">
        <f t="shared" si="1"/>
        <v>0</v>
      </c>
      <c r="Y22" s="28">
        <f t="shared" si="2"/>
        <v>0.22</v>
      </c>
      <c r="Z22" s="28"/>
    </row>
    <row r="23" spans="1:26" s="5" customFormat="1" ht="32.1" customHeight="1" x14ac:dyDescent="0.5">
      <c r="A23" s="59" t="s">
        <v>74</v>
      </c>
      <c r="B23" s="46">
        <v>394</v>
      </c>
      <c r="C23" s="46">
        <v>395.1</v>
      </c>
      <c r="D23" s="46">
        <v>394</v>
      </c>
      <c r="E23" s="46">
        <v>227</v>
      </c>
      <c r="F23" s="46">
        <v>228.4</v>
      </c>
      <c r="G23" s="46">
        <v>227.8</v>
      </c>
      <c r="H23" s="45">
        <v>1.1000000000000001</v>
      </c>
      <c r="I23" s="45">
        <v>1.2</v>
      </c>
      <c r="J23" s="45">
        <v>1.5</v>
      </c>
      <c r="K23" s="45">
        <v>1.3</v>
      </c>
      <c r="L23" s="38">
        <v>0.2</v>
      </c>
      <c r="M23" s="38">
        <v>0.3</v>
      </c>
      <c r="N23" s="38">
        <v>0.9</v>
      </c>
      <c r="O23" s="38">
        <v>49.99</v>
      </c>
      <c r="P23" s="68">
        <v>0.44600000000000001</v>
      </c>
      <c r="Q23" s="68">
        <v>-0.65700000000000003</v>
      </c>
      <c r="R23" s="68">
        <v>0.88500000000000001</v>
      </c>
      <c r="S23" s="47">
        <v>2345</v>
      </c>
      <c r="T23" s="37"/>
      <c r="U23" s="36"/>
      <c r="W23" s="27" t="str">
        <f t="shared" si="0"/>
        <v>13:00</v>
      </c>
      <c r="X23" s="29">
        <f t="shared" si="1"/>
        <v>1</v>
      </c>
      <c r="Y23" s="28">
        <f t="shared" si="2"/>
        <v>0.22</v>
      </c>
      <c r="Z23" s="28"/>
    </row>
    <row r="24" spans="1:26" s="5" customFormat="1" ht="32.1" customHeight="1" x14ac:dyDescent="0.5">
      <c r="A24" s="59" t="s">
        <v>75</v>
      </c>
      <c r="B24" s="46">
        <v>389.7</v>
      </c>
      <c r="C24" s="46">
        <v>391.4</v>
      </c>
      <c r="D24" s="46">
        <v>389.9</v>
      </c>
      <c r="E24" s="46">
        <v>224.4</v>
      </c>
      <c r="F24" s="46">
        <v>226</v>
      </c>
      <c r="G24" s="46">
        <v>225.5</v>
      </c>
      <c r="H24" s="45">
        <v>1.1000000000000001</v>
      </c>
      <c r="I24" s="45">
        <v>1.3</v>
      </c>
      <c r="J24" s="45">
        <v>1.6</v>
      </c>
      <c r="K24" s="45">
        <v>1.3</v>
      </c>
      <c r="L24" s="38">
        <v>0.2</v>
      </c>
      <c r="M24" s="38">
        <v>0.3</v>
      </c>
      <c r="N24" s="38">
        <v>0.9</v>
      </c>
      <c r="O24" s="38">
        <v>49.97</v>
      </c>
      <c r="P24" s="68">
        <v>0.44400000000000001</v>
      </c>
      <c r="Q24" s="68">
        <v>-0.68200000000000005</v>
      </c>
      <c r="R24" s="68">
        <v>0.89300000000000002</v>
      </c>
      <c r="S24" s="47">
        <v>2345</v>
      </c>
      <c r="T24" s="37"/>
      <c r="U24" s="36"/>
      <c r="W24" s="27" t="str">
        <f t="shared" si="0"/>
        <v>14:00</v>
      </c>
      <c r="X24" s="29">
        <f t="shared" si="1"/>
        <v>0</v>
      </c>
      <c r="Y24" s="28">
        <f t="shared" si="2"/>
        <v>0.22</v>
      </c>
      <c r="Z24" s="28"/>
    </row>
    <row r="25" spans="1:26" s="5" customFormat="1" ht="32.1" customHeight="1" x14ac:dyDescent="0.5">
      <c r="A25" s="59" t="s">
        <v>76</v>
      </c>
      <c r="B25" s="46">
        <v>384.3</v>
      </c>
      <c r="C25" s="46">
        <v>386.1</v>
      </c>
      <c r="D25" s="46">
        <v>384.6</v>
      </c>
      <c r="E25" s="46">
        <v>221.3</v>
      </c>
      <c r="F25" s="46">
        <v>223</v>
      </c>
      <c r="G25" s="46">
        <v>222.4</v>
      </c>
      <c r="H25" s="45">
        <v>1.2</v>
      </c>
      <c r="I25" s="45">
        <v>1.1000000000000001</v>
      </c>
      <c r="J25" s="45">
        <v>1.5</v>
      </c>
      <c r="K25" s="45">
        <v>1.2</v>
      </c>
      <c r="L25" s="38">
        <v>0.2</v>
      </c>
      <c r="M25" s="38">
        <v>0.3</v>
      </c>
      <c r="N25" s="38">
        <v>0.9</v>
      </c>
      <c r="O25" s="38">
        <v>49.99</v>
      </c>
      <c r="P25" s="68">
        <v>0.45200000000000001</v>
      </c>
      <c r="Q25" s="68">
        <v>-0.61</v>
      </c>
      <c r="R25" s="68">
        <v>0.84299999999999997</v>
      </c>
      <c r="S25" s="47">
        <v>2346</v>
      </c>
      <c r="T25" s="37"/>
      <c r="U25" s="36"/>
      <c r="W25" s="27" t="str">
        <f t="shared" si="0"/>
        <v>16:00</v>
      </c>
      <c r="X25" s="29">
        <f t="shared" si="1"/>
        <v>1</v>
      </c>
      <c r="Y25" s="28">
        <f t="shared" si="2"/>
        <v>0.22</v>
      </c>
      <c r="Z25" s="28"/>
    </row>
    <row r="26" spans="1:26" s="5" customFormat="1" ht="32.1" customHeight="1" thickBot="1" x14ac:dyDescent="0.55000000000000004">
      <c r="A26" s="99" t="s">
        <v>77</v>
      </c>
      <c r="B26" s="100">
        <v>394.6</v>
      </c>
      <c r="C26" s="100">
        <v>396.3</v>
      </c>
      <c r="D26" s="100">
        <v>395.5</v>
      </c>
      <c r="E26" s="100">
        <v>227.6</v>
      </c>
      <c r="F26" s="100">
        <v>228.8</v>
      </c>
      <c r="G26" s="100">
        <v>228.5</v>
      </c>
      <c r="H26" s="101">
        <v>1.2</v>
      </c>
      <c r="I26" s="101">
        <v>1.2</v>
      </c>
      <c r="J26" s="101">
        <v>1.5</v>
      </c>
      <c r="K26" s="101">
        <v>1.2</v>
      </c>
      <c r="L26" s="102">
        <v>0.2</v>
      </c>
      <c r="M26" s="102">
        <v>0.3</v>
      </c>
      <c r="N26" s="102">
        <v>0.9</v>
      </c>
      <c r="O26" s="102">
        <v>50</v>
      </c>
      <c r="P26" s="103">
        <v>0.45400000000000001</v>
      </c>
      <c r="Q26" s="103">
        <v>-0.65900000000000003</v>
      </c>
      <c r="R26" s="103">
        <v>0.88100000000000001</v>
      </c>
      <c r="S26" s="104">
        <v>2347</v>
      </c>
      <c r="T26" s="105"/>
      <c r="U26" s="36"/>
      <c r="W26" s="27" t="str">
        <f t="shared" si="0"/>
        <v>17:00</v>
      </c>
      <c r="X26" s="29">
        <f t="shared" si="1"/>
        <v>1</v>
      </c>
      <c r="Y26" s="28">
        <f t="shared" si="2"/>
        <v>0.22</v>
      </c>
      <c r="Z26" s="28"/>
    </row>
    <row r="27" spans="1:26" ht="22.5" thickTop="1" x14ac:dyDescent="0.5"/>
  </sheetData>
  <dataConsolidate/>
  <mergeCells count="19">
    <mergeCell ref="A2:U2"/>
    <mergeCell ref="A4:U4"/>
    <mergeCell ref="T8:U10"/>
    <mergeCell ref="P8:R8"/>
    <mergeCell ref="L9:L10"/>
    <mergeCell ref="A5:U5"/>
    <mergeCell ref="T11:U11"/>
    <mergeCell ref="B8:G8"/>
    <mergeCell ref="H8:J8"/>
    <mergeCell ref="O8:O9"/>
    <mergeCell ref="T17:U17"/>
    <mergeCell ref="T13:U13"/>
    <mergeCell ref="T12:U12"/>
    <mergeCell ref="T16:U16"/>
    <mergeCell ref="L8:N8"/>
    <mergeCell ref="M9:M10"/>
    <mergeCell ref="N9:N10"/>
    <mergeCell ref="T14:U14"/>
    <mergeCell ref="T15:U15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tabSelected="1" view="pageBreakPreview" zoomScale="115" zoomScaleNormal="100" zoomScaleSheetLayoutView="115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tabSelected="1" view="pageBreakPreview" zoomScale="115" zoomScaleNormal="100" zoomScaleSheetLayoutView="115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tabSelected="1" view="pageBreakPreview" zoomScaleNormal="100" zoomScaleSheetLayoutView="100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tabSelected="1" view="pageBreakPreview" zoomScaleNormal="55" zoomScaleSheetLayoutView="100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tabSelected="1" view="pageBreakPreview" zoomScaleNormal="70" zoomScaleSheetLayoutView="100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H20" sqref="H20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9" t="s">
        <v>21</v>
      </c>
      <c r="C3" s="23">
        <v>45988</v>
      </c>
      <c r="D3" t="s">
        <v>25</v>
      </c>
    </row>
    <row r="4" spans="2:9" x14ac:dyDescent="0.5">
      <c r="B4" s="19" t="s">
        <v>23</v>
      </c>
      <c r="C4" s="48">
        <f>D4</f>
        <v>2270</v>
      </c>
      <c r="D4">
        <v>2270</v>
      </c>
    </row>
    <row r="5" spans="2:9" x14ac:dyDescent="0.5">
      <c r="B5" s="19" t="s">
        <v>22</v>
      </c>
      <c r="C5" s="48">
        <f>D5</f>
        <v>2339</v>
      </c>
      <c r="D5">
        <v>2339</v>
      </c>
    </row>
    <row r="6" spans="2:9" x14ac:dyDescent="0.5">
      <c r="B6" s="19" t="s">
        <v>32</v>
      </c>
      <c r="C6" s="23"/>
    </row>
    <row r="7" spans="2:9" x14ac:dyDescent="0.5">
      <c r="B7" s="19" t="s">
        <v>24</v>
      </c>
      <c r="C7" s="23">
        <v>45989</v>
      </c>
      <c r="E7" s="49">
        <f>MAX(Data!X12:X26)</f>
        <v>1</v>
      </c>
      <c r="F7" s="70">
        <f>MAX(Data!$Y11:$Y26)</f>
        <v>0.22</v>
      </c>
    </row>
    <row r="8" spans="2:9" x14ac:dyDescent="0.5">
      <c r="B8" s="19" t="s">
        <v>23</v>
      </c>
      <c r="C8" s="48">
        <f>Data!S11</f>
        <v>2339</v>
      </c>
      <c r="E8" s="51">
        <f>MIN(Data!X12:X26)</f>
        <v>0</v>
      </c>
      <c r="F8" s="71">
        <f>MIN(Data!$Y11:$Y26)</f>
        <v>0.22</v>
      </c>
    </row>
    <row r="9" spans="2:9" x14ac:dyDescent="0.5">
      <c r="B9" s="19" t="s">
        <v>22</v>
      </c>
      <c r="C9" s="48">
        <f>MAX(Data!S11:S26)</f>
        <v>2347</v>
      </c>
      <c r="E9" s="52">
        <f>AVERAGE(Data!X12:X26)</f>
        <v>0.53333333333333333</v>
      </c>
      <c r="F9" s="69">
        <f>AVERAGE($F7:$F8)</f>
        <v>0.22</v>
      </c>
    </row>
    <row r="11" spans="2:9" x14ac:dyDescent="0.5">
      <c r="B11" s="19" t="s">
        <v>26</v>
      </c>
      <c r="C11" s="48">
        <f>C5-C4</f>
        <v>69</v>
      </c>
    </row>
    <row r="12" spans="2:9" x14ac:dyDescent="0.5">
      <c r="B12" s="19" t="s">
        <v>27</v>
      </c>
      <c r="C12" s="48">
        <f>C9-C8</f>
        <v>8</v>
      </c>
    </row>
    <row r="13" spans="2:9" x14ac:dyDescent="0.5">
      <c r="B13" s="19" t="s">
        <v>28</v>
      </c>
      <c r="C13" s="24">
        <f>IFERROR(((C12-C11)/C11)*100,0)</f>
        <v>-88.405797101449281</v>
      </c>
    </row>
    <row r="14" spans="2:9" x14ac:dyDescent="0.5">
      <c r="B14" s="19" t="s">
        <v>29</v>
      </c>
      <c r="C14" s="19" t="str">
        <f>IF(C13&lt;0,"▼"&amp;ROUND(ABS(C13),2)&amp;" %","▲"&amp;ROUND(ABS(C13),2)&amp;" %")</f>
        <v>▼88.41 %</v>
      </c>
    </row>
    <row r="15" spans="2:9" x14ac:dyDescent="0.5">
      <c r="F15" s="19" t="s">
        <v>41</v>
      </c>
      <c r="G15" t="s">
        <v>42</v>
      </c>
    </row>
    <row r="16" spans="2:9" x14ac:dyDescent="0.5">
      <c r="B16" s="19" t="s">
        <v>34</v>
      </c>
      <c r="C16" s="30" t="s">
        <v>38</v>
      </c>
      <c r="D16" t="s">
        <v>39</v>
      </c>
      <c r="E16" t="s">
        <v>40</v>
      </c>
      <c r="F16" s="54">
        <f>C7</f>
        <v>45989</v>
      </c>
      <c r="G16" s="55" t="s">
        <v>44</v>
      </c>
      <c r="H16" s="55">
        <f>IF(OR(TEXT(C7,"ddd")="Sat",TEXT(C7,"ddd")="Sun"),E17+E18+E21,E17+E18)</f>
        <v>4</v>
      </c>
      <c r="I16" s="31"/>
    </row>
    <row r="17" spans="2:9" x14ac:dyDescent="0.5">
      <c r="B17" s="19" t="s">
        <v>33</v>
      </c>
      <c r="C17">
        <v>2339</v>
      </c>
      <c r="D17">
        <v>2343</v>
      </c>
      <c r="E17">
        <f>D17-C17</f>
        <v>4</v>
      </c>
      <c r="F17" s="55">
        <f>IF(OR(TEXT(C7,"ddd")="Sat",TEXT(C7,"ddd")="Sun"),E17+E18+E21,E17+E18)</f>
        <v>4</v>
      </c>
    </row>
    <row r="18" spans="2:9" x14ac:dyDescent="0.5">
      <c r="B18" s="19" t="s">
        <v>35</v>
      </c>
      <c r="E18">
        <f>D18-C18</f>
        <v>0</v>
      </c>
      <c r="G18" s="31"/>
      <c r="H18" s="31"/>
      <c r="I18" s="31"/>
    </row>
    <row r="19" spans="2:9" x14ac:dyDescent="0.5">
      <c r="B19" s="19"/>
      <c r="G19" s="31"/>
      <c r="H19" s="31"/>
      <c r="I19" s="31"/>
    </row>
    <row r="20" spans="2:9" x14ac:dyDescent="0.5">
      <c r="B20" s="19" t="s">
        <v>36</v>
      </c>
      <c r="G20" t="s">
        <v>43</v>
      </c>
      <c r="H20">
        <f>IF(OR(TEXT(C7,"ddd")="Sat",TEXT(C7,"ddd")="Sun"),0,E21)</f>
        <v>2347</v>
      </c>
    </row>
    <row r="21" spans="2:9" x14ac:dyDescent="0.5">
      <c r="B21" s="19" t="s">
        <v>37</v>
      </c>
      <c r="C21">
        <v>0</v>
      </c>
      <c r="D21">
        <v>2347</v>
      </c>
      <c r="E21">
        <f>D21-C21</f>
        <v>2347</v>
      </c>
      <c r="F21">
        <f>IF(OR(TEXT(C7,"ddd")="Sat",TEXT(C7,"ddd")="Sun"),0,E21)</f>
        <v>2347</v>
      </c>
    </row>
    <row r="22" spans="2:9" x14ac:dyDescent="0.5">
      <c r="C22" s="30"/>
    </row>
    <row r="23" spans="2:9" x14ac:dyDescent="0.5">
      <c r="B23" s="19"/>
    </row>
    <row r="24" spans="2:9" x14ac:dyDescent="0.5">
      <c r="B24" s="19"/>
      <c r="C24" s="31"/>
    </row>
    <row r="25" spans="2:9" x14ac:dyDescent="0.5">
      <c r="B25" s="19"/>
      <c r="C25" s="31"/>
    </row>
  </sheetData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2025-11-28T10:31:09Z</cp:lastPrinted>
  <dcterms:created xsi:type="dcterms:W3CDTF">2000-08-29T10:04:06Z</dcterms:created>
  <dcterms:modified xsi:type="dcterms:W3CDTF">2025-11-28T10:31:09Z</dcterms:modified>
</cp:coreProperties>
</file>